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<sst xmlns="http://schemas.openxmlformats.org/spreadsheetml/2006/main" count="10" uniqueCount="8">
  <si>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ADC分辨率</t>
  </si>
  <si>
    <t>Ka</t>
  </si>
  <si>
    <t>输入ADC</t>
  </si>
  <si>
    <t>输出MCU的电压</t>
  </si>
  <si>
    <t>增益</t>
  </si>
  <si>
    <t>输出电压</t>
  </si>
  <si>
    <t>输入电流值</t>
  </si>
  <si>
    <t>采样电阻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</si>
</sst>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M11"/>
  <sheetViews>
    <sheetView tabSelected="1" workbookViewId="0">
      <selection activeCell="I12" sqref="I12"/>
    </sheetView>
  </sheetViews>
  <sheetFormatPr defaultColWidth="9" defaultRowHeight="14"/>
  <cols>
    <col min="4" max="4" width="18.2545454545455" customWidth="1"/>
    <col min="5" max="5" width="11.2545454545455" customWidth="1"/>
    <col min="6" max="6" width="17.3727272727273" customWidth="1"/>
    <col min="9" max="9" width="13.1272727272727" customWidth="1"/>
    <col min="10" max="10" width="15" customWidth="1"/>
    <col min="12" max="12" width="18.1272727272727" customWidth="1"/>
    <col min="13" max="13" width="9.37272727272727"/>
  </cols>
  <sheetData>
    <row r="4" spans="4:13">
      <c r="D4" t="s">
        <v>0</v>
      </c>
      <c r="F4" t="s">
        <v>1</v>
      </c>
      <c r="I4" t="s">
        <v>2</v>
      </c>
      <c r="J4" t="s">
        <v>3</v>
      </c>
      <c r="K4" t="s">
        <v>4</v>
      </c>
      <c r="L4" t="s">
        <v>5</v>
      </c>
    </row>
    <row r="5" spans="4:13">
      <c r="D5">
        <v>65535</v>
      </c>
      <c r="E5">
        <v>3300</v>
      </c>
      <c r="F5">
        <f>E5/D5</f>
        <v>0.0503547722590982</v>
      </c>
      <c r="I5">
        <v>5924</v>
      </c>
      <c r="J5">
        <f>I5*F5</f>
        <v>298.301670862898</v>
      </c>
      <c r="K5">
        <v>2.2</v>
      </c>
      <c r="L5">
        <f>J5*K5</f>
        <v>656.263675898375</v>
      </c>
    </row>
    <row r="9" spans="4:13">
      <c r="I9" t="s">
        <v>6</v>
      </c>
      <c r="J9" t="s">
        <v>7</v>
      </c>
      <c r="K9" t="s">
        <v>4</v>
      </c>
      <c r="L9" t="s">
        <v>5</v>
      </c>
    </row>
    <row r="10" spans="4:13">
      <c r="I10">
        <v>20</v>
      </c>
      <c r="J10">
        <v>0.0033</v>
      </c>
      <c r="K10">
        <v>91</v>
      </c>
      <c r="L10">
        <f>I10*J10*K10</f>
        <v>6.006</v>
      </c>
      <c r="M10">
        <f>L10/4</f>
        <v>1.5015</v>
      </c>
    </row>
    <row r="11" spans="4:13">
      <c r="I11">
        <v>1</v>
      </c>
      <c r="J11">
        <v>0.0015</v>
      </c>
      <c r="K11">
        <v>91</v>
      </c>
      <c r="L11">
        <f>I11*J11*K11</f>
        <v>0.1365</v>
      </c>
      <c r="M11">
        <f>L11/4</f>
        <v>0.034125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mornsun2</dc:creator>
  <cp:lastModifiedBy>企业用户_272389534</cp:lastModifiedBy>
  <dcterms:created xsi:type="dcterms:W3CDTF">2006-09-16T00:00:00Z</dcterms:created>
  <dcterms:modified xsi:type="dcterms:W3CDTF">2026-04-06T14:54:48Z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570F86D729634F4EAB0F7D36782F6A7D_12</vt:lpwstr>
  </property>
  <property fmtid="{D5CDD505-2E9C-101B-9397-08002B2CF9AE}" pid="4" name="CalculationRule">
    <vt:i4>0</vt:i4>
  </property>
</Properties>
</file>